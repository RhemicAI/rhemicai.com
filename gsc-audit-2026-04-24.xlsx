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Queries" sheetId="2" state="visible" r:id="rId4"/>
    <sheet name="Pages" sheetId="3" state="visible" r:id="rId5"/>
    <sheet name="Indexing" sheetId="4" state="visible" r:id="rId6"/>
    <sheet name="Sitemap" sheetId="5" state="visible" r:id="rId7"/>
    <sheet name="Page Audit" sheetId="6" state="visible" r:id="rId8"/>
    <sheet name="Recommendation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<sst xmlns="http://schemas.openxmlformats.org/spreadsheetml/2006/main" count="379" uniqueCount="250">
  <si>
    <t xml:space="preserve">Rhemic AI — GSC Audit</t>
  </si>
  <si>
    <t xml:space="preserve">Property: sc-domain:rhemicai.com</t>
  </si>
  <si>
    <t xml:space="preserve">Date range: 3 months (approx 2026-01-23 to 2026-04-23, from GSC)</t>
  </si>
  <si>
    <t xml:space="preserve">Report generated: 2026-04-24</t>
  </si>
  <si>
    <t xml:space="preserve">Metric</t>
  </si>
  <si>
    <t xml:space="preserve">Value</t>
  </si>
  <si>
    <t xml:space="preserve">Note</t>
  </si>
  <si>
    <t xml:space="preserve">Total clicks (90d)</t>
  </si>
  <si>
    <t xml:space="preserve">Branded query 'rhemic ai' = 18 of 63</t>
  </si>
  <si>
    <t xml:space="preserve">Total impressions (90d)</t>
  </si>
  <si>
    <t xml:space="preserve">Only 1 query surfaces in GSC report; rest anonymized</t>
  </si>
  <si>
    <t xml:space="preserve">Average CTR</t>
  </si>
  <si>
    <t xml:space="preserve">Elevated because branded queries dominate</t>
  </si>
  <si>
    <t xml:space="preserve">Average position</t>
  </si>
  <si>
    <t xml:space="preserve">Misleading — reflects branded queries only</t>
  </si>
  <si>
    <t xml:space="preserve">Indexed pages</t>
  </si>
  <si>
    <t xml:space="preserve">rhemicai.com/, rhemicai.com/about, rhemicai.com/case-studies (likely)</t>
  </si>
  <si>
    <t xml:space="preserve">Not indexed pages</t>
  </si>
  <si>
    <t xml:space="preserve">See Indexing tab</t>
  </si>
  <si>
    <t xml:space="preserve">URLs declared in sitemap</t>
  </si>
  <si>
    <t xml:space="preserve">Most are undiscovered by Google</t>
  </si>
  <si>
    <t xml:space="preserve">Sitemaps submitted to GSC</t>
  </si>
  <si>
    <t xml:space="preserve">Critical gap</t>
  </si>
  <si>
    <t xml:space="preserve">Sitemap URL served from</t>
  </si>
  <si>
    <t xml:space="preserve">www.rhemicai.com/sitemap.xml</t>
  </si>
  <si>
    <t xml:space="preserve">Server redirects apex→www</t>
  </si>
  <si>
    <t xml:space="preserve">Canonical tag points to</t>
  </si>
  <si>
    <t xml:space="preserve">https://rhemicai.com/... (apex)</t>
  </si>
  <si>
    <t xml:space="preserve">Mismatch with redirect target</t>
  </si>
  <si>
    <t xml:space="preserve">Non-branded organic footprint</t>
  </si>
  <si>
    <t xml:space="preserve">Effectively zero</t>
  </si>
  <si>
    <t xml:space="preserve">Confirmed by query breakdown</t>
  </si>
  <si>
    <t xml:space="preserve">Top 3 findings (ordered by leverage):</t>
  </si>
  <si>
    <t xml:space="preserve">1. Canonicalization conflict — server 301s apex→www, but &lt;link rel=canonical&gt; points to apex. Pages bounce in and out of the index. Fix at infrastructure level (Next.js / Vercel / DNS).</t>
  </si>
  <si>
    <t xml:space="preserve">2. No sitemap submitted to GSC despite a valid sitemap existing at /sitemap.xml with 27 URLs. Google has discovered only ~9. Submitting the sitemap unlocks discovery.</t>
  </si>
  <si>
    <t xml:space="preserve">3. Site has 5 blog posts and 3 competitor comparison pages already live (per sitemap), none of which are indexed. If the canonical issue is fixed and the sitemap is submitted, most of these should index within 2-4 weeks and become ranking candidates.</t>
  </si>
  <si>
    <t xml:space="preserve">Query Performance (last 90 days, GSC)</t>
  </si>
  <si>
    <t xml:space="preserve">Query</t>
  </si>
  <si>
    <t xml:space="preserve">Clicks</t>
  </si>
  <si>
    <t xml:space="preserve">Impressions</t>
  </si>
  <si>
    <t xml:space="preserve">CTR</t>
  </si>
  <si>
    <t xml:space="preserve">Avg Position</t>
  </si>
  <si>
    <t xml:space="preserve">Intent</t>
  </si>
  <si>
    <t xml:space="preserve">Notes</t>
  </si>
  <si>
    <t xml:space="preserve">rhemic ai</t>
  </si>
  <si>
    <t xml:space="preserve">branded</t>
  </si>
  <si>
    <t xml:space="preserve">Only non-anonymized query; 60% CTR at pos 1.0 = brand signal</t>
  </si>
  <si>
    <t xml:space="preserve">(anonymized bucket)</t>
  </si>
  <si>
    <t xml:space="preserve">unknown</t>
  </si>
  <si>
    <t xml:space="preserve">GSC suppresses queries below its privacy threshold; implies low-volume long tail or PII risk</t>
  </si>
  <si>
    <t xml:space="preserve">TOTAL</t>
  </si>
  <si>
    <t xml:space="preserve">Row totals</t>
  </si>
  <si>
    <t xml:space="preserve">Page-2 goldmine (queries at positions 11-20 with &gt;=50 impressions):</t>
  </si>
  <si>
    <t xml:space="preserve">None. Insufficient non-branded query data. GSC page-2 optimization approach is not applicable at current traffic volume. Pivot to keyword-led optimization of target keywords per the sprint plan.</t>
  </si>
  <si>
    <t xml:space="preserve">Page Performance (last 90 days, GSC)</t>
  </si>
  <si>
    <t xml:space="preserve">URL</t>
  </si>
  <si>
    <t xml:space="preserve">Hostname</t>
  </si>
  <si>
    <t xml:space="preserve">Diagnosis</t>
  </si>
  <si>
    <t xml:space="preserve">https://rhemicai.com/</t>
  </si>
  <si>
    <t xml:space="preserve">apex</t>
  </si>
  <si>
    <t xml:space="preserve">Primary indexed version of homepage; absorbs almost all traffic. Good.</t>
  </si>
  <si>
    <t xml:space="preserve">https://rhemicai.com/about</t>
  </si>
  <si>
    <t xml:space="preserve">Getting non-branded traffic, but bouncing in/out of index. In 'crawled-currently-not-indexed' last seen 2026-02-18.</t>
  </si>
  <si>
    <t xml:space="preserve">https://www.rhemicai.com/about</t>
  </si>
  <si>
    <t xml:space="preserve">www</t>
  </si>
  <si>
    <t xml:space="preserve">Duplicate with apex /about. 0% CTR despite pos 1.0 = users don't click www in SERPs.</t>
  </si>
  <si>
    <t xml:space="preserve">https://www.rhemicai.com/contact</t>
  </si>
  <si>
    <t xml:space="preserve">www-only URL. Apex /contact does not appear in GSC.</t>
  </si>
  <si>
    <t xml:space="preserve">https://www.rhemicai.com/pricing</t>
  </si>
  <si>
    <t xml:space="preserve">www-only URL. Apex /pricing does not appear in GSC.</t>
  </si>
  <si>
    <t xml:space="preserve">https://www.rhemicai.com/products</t>
  </si>
  <si>
    <t xml:space="preserve">www-only URL. Apex /products does not appear in GSC.</t>
  </si>
  <si>
    <t xml:space="preserve">https://rhemicai.com/case-studies</t>
  </si>
  <si>
    <t xml:space="preserve">Indexed on apex. No clicks.</t>
  </si>
  <si>
    <t xml:space="preserve">https://www.rhemicai.com/</t>
  </si>
  <si>
    <t xml:space="preserve">Duplicate with apex homepage.</t>
  </si>
  <si>
    <t xml:space="preserve">https://www.rhemicai.com/case-studies</t>
  </si>
  <si>
    <t xml:space="preserve">Duplicate.</t>
  </si>
  <si>
    <t xml:space="preserve">Hostname split:</t>
  </si>
  <si>
    <t xml:space="preserve">Apex clicks</t>
  </si>
  <si>
    <t xml:space="preserve">www clicks</t>
  </si>
  <si>
    <t xml:space="preserve">Apex impressions</t>
  </si>
  <si>
    <t xml:space="preserve">www impressions</t>
  </si>
  <si>
    <t xml:space="preserve">Indexing Status (GSC Page Indexing Report)</t>
  </si>
  <si>
    <t xml:space="preserve">Status</t>
  </si>
  <si>
    <t xml:space="preserve">Reason</t>
  </si>
  <si>
    <t xml:space="preserve">Count</t>
  </si>
  <si>
    <t xml:space="preserve">Example URL</t>
  </si>
  <si>
    <t xml:space="preserve">Action</t>
  </si>
  <si>
    <t xml:space="preserve">Indexed</t>
  </si>
  <si>
    <t xml:space="preserve">-</t>
  </si>
  <si>
    <t xml:space="preserve">rhemicai.com/, rhemicai.com/about, rhemicai.com/case-studies</t>
  </si>
  <si>
    <t xml:space="preserve">Monitor; ensure these stay indexed</t>
  </si>
  <si>
    <t xml:space="preserve">Not indexed</t>
  </si>
  <si>
    <t xml:space="preserve">Page with redirect</t>
  </si>
  <si>
    <t xml:space="preserve">(www variants redirecting to apex, or similar)</t>
  </si>
  <si>
    <t xml:space="preserve">Normal behavior if canonicalization is consistent; verify</t>
  </si>
  <si>
    <t xml:space="preserve">Alternate page with proper canonical tag</t>
  </si>
  <si>
    <t xml:space="preserve">(www duplicates with canonical pointing to apex)</t>
  </si>
  <si>
    <t xml:space="preserve">Acceptable; verify correct direction</t>
  </si>
  <si>
    <t xml:space="preserve">Not found (404)</t>
  </si>
  <si>
    <t xml:space="preserve">https://www.rhemicai.com/_next/static/media/99e609270109b47d-s.p.64b9304e.woff2</t>
  </si>
  <si>
    <t xml:space="preserve">Stale Next.js build asset; ignore — will drop off</t>
  </si>
  <si>
    <t xml:space="preserve">Crawled - currently not indexed</t>
  </si>
  <si>
    <t xml:space="preserve">HIGH priority — page has impressions but Google keeps dropping it; root cause = canonical conflict</t>
  </si>
  <si>
    <t xml:space="preserve">Sitemap URLs declared at www.rhemicai.com/sitemap.xml (27 URLs)</t>
  </si>
  <si>
    <t xml:space="preserve">GSC only reports data for 9 URLs. Remaining ~18 are undiscovered or undisclosed.</t>
  </si>
  <si>
    <t xml:space="preserve">Priority</t>
  </si>
  <si>
    <t xml:space="preserve">Changefreq</t>
  </si>
  <si>
    <t xml:space="preserve">Lastmod</t>
  </si>
  <si>
    <t xml:space="preserve">GSC Status</t>
  </si>
  <si>
    <t xml:space="preserve">Category</t>
  </si>
  <si>
    <t xml:space="preserve">weekly</t>
  </si>
  <si>
    <t xml:space="preserve">2026-04-01</t>
  </si>
  <si>
    <t xml:space="preserve">Indexed (apex)</t>
  </si>
  <si>
    <t xml:space="preserve">homepage</t>
  </si>
  <si>
    <t xml:space="preserve">monthly</t>
  </si>
  <si>
    <t xml:space="preserve">Bouncing (crawled-not-indexed)</t>
  </si>
  <si>
    <t xml:space="preserve">core</t>
  </si>
  <si>
    <t xml:space="preserve">https://rhemicai.com/pricing</t>
  </si>
  <si>
    <t xml:space="preserve">www variant in GSC, apex not reported</t>
  </si>
  <si>
    <t xml:space="preserve">https://rhemicai.com/contact</t>
  </si>
  <si>
    <t xml:space="preserve">https://rhemicai.com/blog</t>
  </si>
  <si>
    <t xml:space="preserve">2026-03-31</t>
  </si>
  <si>
    <t xml:space="preserve">Not seen in GSC</t>
  </si>
  <si>
    <t xml:space="preserve">content hub</t>
  </si>
  <si>
    <t xml:space="preserve">https://rhemicai.com/careers</t>
  </si>
  <si>
    <t xml:space="preserve">2026-02-01</t>
  </si>
  <si>
    <t xml:space="preserve">low priority SEO</t>
  </si>
  <si>
    <t xml:space="preserve">https://rhemicai.com/start-free-trial</t>
  </si>
  <si>
    <t xml:space="preserve">2026-03-01</t>
  </si>
  <si>
    <t xml:space="preserve">conversion</t>
  </si>
  <si>
    <t xml:space="preserve">https://rhemicai.com/products</t>
  </si>
  <si>
    <t xml:space="preserve">product hub</t>
  </si>
  <si>
    <t xml:space="preserve">https://rhemicai.com/products/website-auditing</t>
  </si>
  <si>
    <t xml:space="preserve">product page</t>
  </si>
  <si>
    <t xml:space="preserve">https://rhemicai.com/products/competitor-analysis</t>
  </si>
  <si>
    <t xml:space="preserve">2026-03-15</t>
  </si>
  <si>
    <t xml:space="preserve">product page — HIGH leverage for 'AI competitor analysis' keywords</t>
  </si>
  <si>
    <t xml:space="preserve">https://rhemicai.com/products/code-generation</t>
  </si>
  <si>
    <t xml:space="preserve">https://rhemicai.com/for-local-businesses</t>
  </si>
  <si>
    <t xml:space="preserve">audience page</t>
  </si>
  <si>
    <t xml:space="preserve">https://rhemicai.com/faq</t>
  </si>
  <si>
    <t xml:space="preserve">informational</t>
  </si>
  <si>
    <t xml:space="preserve">https://rhemicai.com/how-it-works</t>
  </si>
  <si>
    <t xml:space="preserve">https://rhemicai.com/compare</t>
  </si>
  <si>
    <t xml:space="preserve">comparison hub</t>
  </si>
  <si>
    <t xml:space="preserve">https://rhemicai.com/compare/rhemic-vs-seo-ai</t>
  </si>
  <si>
    <t xml:space="preserve">bottom funnel</t>
  </si>
  <si>
    <t xml:space="preserve">https://rhemicai.com/compare/rhemic-vs-surferseo</t>
  </si>
  <si>
    <t xml:space="preserve">https://rhemicai.com/compare/rhemic-vs-clearscope</t>
  </si>
  <si>
    <t xml:space="preserve">social proof</t>
  </si>
  <si>
    <t xml:space="preserve">https://rhemicai.com/for-agencies</t>
  </si>
  <si>
    <t xml:space="preserve">audience page — ICP match</t>
  </si>
  <si>
    <t xml:space="preserve">https://rhemicai.com/resources/glossary</t>
  </si>
  <si>
    <t xml:space="preserve">SEO term hub</t>
  </si>
  <si>
    <t xml:space="preserve">https://rhemicai.com/free-ai-visibility-check</t>
  </si>
  <si>
    <t xml:space="preserve">lead magnet</t>
  </si>
  <si>
    <t xml:space="preserve">https://rhemicai.com/blog/what-is-aeo</t>
  </si>
  <si>
    <t xml:space="preserve">2026-02-14</t>
  </si>
  <si>
    <t xml:space="preserve">blog post</t>
  </si>
  <si>
    <t xml:space="preserve">https://rhemicai.com/blog/seo-vs-aeo</t>
  </si>
  <si>
    <t xml:space="preserve">https://rhemicai.com/blog/how-to-audit-your-websites-ai-visibility</t>
  </si>
  <si>
    <t xml:space="preserve">https://rhemicai.com/blog/how-marketing-agencies-can-get-recommended-by-ai-tools</t>
  </si>
  <si>
    <t xml:space="preserve">blog post — ICP match</t>
  </si>
  <si>
    <t xml:space="preserve">https://rhemicai.com/blog/my-business-isnt-showing-up-in-ai-chat-answers</t>
  </si>
  <si>
    <t xml:space="preserve">Per-page HTML audit (homepage + /about)</t>
  </si>
  <si>
    <t xml:space="preserve">Captured 2026-04-24 via live crawl.</t>
  </si>
  <si>
    <t xml:space="preserve">Field</t>
  </si>
  <si>
    <t xml:space="preserve">Homepage (rhemicai.com/)</t>
  </si>
  <si>
    <t xml:space="preserve">About (rhemicai.com/about)</t>
  </si>
  <si>
    <t xml:space="preserve">Requested URL</t>
  </si>
  <si>
    <t xml:space="preserve">Both apex requests 301 to www</t>
  </si>
  <si>
    <t xml:space="preserve">Final URL (after redirect)</t>
  </si>
  <si>
    <t xml:space="preserve">Server canonicalizes to www</t>
  </si>
  <si>
    <t xml:space="preserve">Title tag</t>
  </si>
  <si>
    <t xml:space="preserve">Rhemic AI | AI Visibility Platform for ChatGPT, Claude, and Perplexity</t>
  </si>
  <si>
    <t xml:space="preserve">About Rhemic AI: The Team Building AI Visibility Infrastructure | Rhemic AI</t>
  </si>
  <si>
    <t xml:space="preserve">Homepage title does not target 'agency' keywords; /about title is generic</t>
  </si>
  <si>
    <t xml:space="preserve">Title length</t>
  </si>
  <si>
    <t xml:space="preserve">Ideal 50-60; overage leads to truncation in SERPs</t>
  </si>
  <si>
    <t xml:space="preserve">Meta description</t>
  </si>
  <si>
    <t xml:space="preserve">Rhemic AI helps businesses measure, improve, and track how often they are cited and recommended in AI answer engines like ChatGPT, Claude, Perplexity, Gemini, and Google AI experiences.</t>
  </si>
  <si>
    <t xml:space="preserve">Meet the Rhemic AI founding team and learn why we built an AI Engine Optimization platform for businesses that need to be recommended in answer engines.</t>
  </si>
  <si>
    <t xml:space="preserve">Both read 'businesses' not 'agencies'; neither uses agency-facing CTAs</t>
  </si>
  <si>
    <t xml:space="preserve">Meta description length</t>
  </si>
  <si>
    <t xml:space="preserve">Ideal 140-160</t>
  </si>
  <si>
    <t xml:space="preserve">Canonical (link rel=canonical)</t>
  </si>
  <si>
    <t xml:space="preserve">Points to apex — contradicts server redirect to www</t>
  </si>
  <si>
    <t xml:space="preserve">H1</t>
  </si>
  <si>
    <t xml:space="preserve">Your Business Is Invisible to AI.We Fix That.</t>
  </si>
  <si>
    <t xml:space="preserve">We saw the AI shift before most businesses did.</t>
  </si>
  <si>
    <t xml:space="preserve">Homepage H1 has a formatting bug: missing space after period. H1 targets end-businesses, not agencies.</t>
  </si>
  <si>
    <t xml:space="preserve">H1 count</t>
  </si>
  <si>
    <t xml:space="preserve">Correct (single H1 per page)</t>
  </si>
  <si>
    <t xml:space="preserve">H2 count</t>
  </si>
  <si>
    <t xml:space="preserve">Good structure</t>
  </si>
  <si>
    <t xml:space="preserve">Word count</t>
  </si>
  <si>
    <t xml:space="preserve">Homepage substantive; /about thin — room to add founder story + agency-facing signal</t>
  </si>
  <si>
    <t xml:space="preserve">Internal link count</t>
  </si>
  <si>
    <t xml:space="preserve">Healthy internal linking</t>
  </si>
  <si>
    <t xml:space="preserve">Robots meta</t>
  </si>
  <si>
    <t xml:space="preserve">index, follow</t>
  </si>
  <si>
    <t xml:space="preserve">OK</t>
  </si>
  <si>
    <t xml:space="preserve">OG title</t>
  </si>
  <si>
    <t xml:space="preserve">Rhemic AI | AI Visibility Platform for Answer Engines</t>
  </si>
  <si>
    <t xml:space="preserve">(not captured — same pattern likely)</t>
  </si>
  <si>
    <t xml:space="preserve">Social preview title differs from &lt;title&gt;, which is fine</t>
  </si>
  <si>
    <t xml:space="preserve">Brand category language used?</t>
  </si>
  <si>
    <t xml:space="preserve">Uses 'AI Answer Engine Optimization' and 'AI Visibility' — not 'AI Competitive Visibility Intelligence'</t>
  </si>
  <si>
    <t xml:space="preserve">Uses 'AI Engine Optimization' — not 'AI Competitive Visibility Intelligence'</t>
  </si>
  <si>
    <t xml:space="preserve">Site's live category language does not match the context file's required category phrasing</t>
  </si>
  <si>
    <t xml:space="preserve">Agency targeting in first 100 words</t>
  </si>
  <si>
    <t xml:space="preserve">No mention of 'agency' or 'agencies'</t>
  </si>
  <si>
    <t xml:space="preserve">Gap — target keyword set is agency-facing</t>
  </si>
  <si>
    <t xml:space="preserve">Recommendations — impact-labeled action list</t>
  </si>
  <si>
    <t xml:space="preserve">#</t>
  </si>
  <si>
    <t xml:space="preserve">Impact</t>
  </si>
  <si>
    <t xml:space="preserve">Effort</t>
  </si>
  <si>
    <t xml:space="preserve">Time to see results</t>
  </si>
  <si>
    <t xml:space="preserve">Resolve canonicalization: either change server to redirect www → apex AND keep &lt;link rel=canonical&gt; pointing to apex (recommended for cleaner brand URL), OR update &lt;link rel=canonical&gt; to point to www to match the existing redirect direction. Update sitemap.xml &lt;loc&gt; entries to match whichever hostname you choose.</t>
  </si>
  <si>
    <t xml:space="preserve">high</t>
  </si>
  <si>
    <t xml:space="preserve">medium</t>
  </si>
  <si>
    <t xml:space="preserve">2-4 weeks</t>
  </si>
  <si>
    <t xml:space="preserve">technical SEO</t>
  </si>
  <si>
    <t xml:space="preserve">Submit sitemap.xml to GSC (Sitemaps → Add a new sitemap → 'sitemap.xml'). This is a 30-second action that unlocks discovery of ~18 currently undiscovered pages.</t>
  </si>
  <si>
    <t xml:space="preserve">trivial</t>
  </si>
  <si>
    <t xml:space="preserve">1-3 weeks</t>
  </si>
  <si>
    <t xml:space="preserve">Fix homepage H1 formatting bug: 'Your Business Is Invisible to AI.We Fix That.' → add missing space after 'AI.' Small but visible.</t>
  </si>
  <si>
    <t xml:space="preserve">low</t>
  </si>
  <si>
    <t xml:space="preserve">immediate visual fix</t>
  </si>
  <si>
    <t xml:space="preserve">copy</t>
  </si>
  <si>
    <t xml:space="preserve">Rewrite homepage title tag, H1, and meta description to lead with agency positioning. Current copy targets end-businesses; target keywords are agency-facing. See sprint plan for exact copy.</t>
  </si>
  <si>
    <t xml:space="preserve">4-8 weeks (requires reindex)</t>
  </si>
  <si>
    <t xml:space="preserve">on-page SEO</t>
  </si>
  <si>
    <t xml:space="preserve">Add 'agency' and at least one target keyword to the first 100 words of the homepage. Currently absent.</t>
  </si>
  <si>
    <t xml:space="preserve">4-8 weeks</t>
  </si>
  <si>
    <t xml:space="preserve">Expand /about to 800-1200 words; add founder photos, UT Dallas mention, agency-partner-oriented section.</t>
  </si>
  <si>
    <t xml:space="preserve">4-12 weeks</t>
  </si>
  <si>
    <t xml:space="preserve">content</t>
  </si>
  <si>
    <t xml:space="preserve">Request indexing for all 27 sitemap URLs via GSC URL Inspection → 'Request indexing'. Do after sitemap submission and canonical fix, not before.</t>
  </si>
  <si>
    <t xml:space="preserve">2-6 weeks</t>
  </si>
  <si>
    <t xml:space="preserve">Verify comparison pages (/compare/rhemic-vs-surferseo etc.) have unique titles, meta, H1 targeting the comparison keyword. These are bottom-funnel SEO gold for agencies evaluating tools.</t>
  </si>
  <si>
    <t xml:space="preserve">8-16 weeks</t>
  </si>
  <si>
    <t xml:space="preserve">Decide whether to keep or rename /blog/what-is-aeo and /blog/seo-vs-aeo. Context file says don't use 'AEO' in outputs. Site already uses it. Recommend renaming slugs to use 'AI search' or 'generative search' language, with 301 redirects from old URLs.</t>
  </si>
  <si>
    <t xml:space="preserve">Flag for user decision</t>
  </si>
  <si>
    <t xml:space="preserve">content strategy</t>
  </si>
  <si>
    <t xml:space="preserve">Ignore the Next.js font 404 (.woff2). It is a stale build artifact and will drop off naturally.</t>
  </si>
  <si>
    <t xml:space="preserve">none</t>
  </si>
  <si>
    <t xml:space="preserve">immediate (no-op)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</si>
</sst>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8CBAD"/>
        <bgColor rgb="FFFFE699"/>
      </patternFill>
    </fill>
    <fill>
      <patternFill patternType="solid">
        <fgColor rgb="FFC6E0B4"/>
        <bgColor rgb="FFCCCCCC"/>
      </patternFill>
    </fill>
    <fill>
      <patternFill patternType="solid">
        <fgColor rgb="FFFFE699"/>
        <bgColor rgb="FFF8CBA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21.75" hidden="false" customHeight="tru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</row>
    <row r="7" customFormat="false" ht="15" hidden="false" customHeight="false" outlineLevel="0" collapsed="false">
      <c r="A7" s="4" t="s">
        <v>7</v>
      </c>
      <c r="B7" s="4" t="n">
        <v>63</v>
      </c>
      <c r="C7" s="4" t="s">
        <v>8</v>
      </c>
    </row>
    <row r="8" customFormat="false" ht="15" hidden="false" customHeight="false" outlineLevel="0" collapsed="false">
      <c r="A8" s="4" t="s">
        <v>9</v>
      </c>
      <c r="B8" s="4" t="n">
        <v>146</v>
      </c>
      <c r="C8" s="4" t="s">
        <v>10</v>
      </c>
    </row>
    <row r="9" customFormat="false" ht="15" hidden="false" customHeight="false" outlineLevel="0" collapsed="false">
      <c r="A9" s="4" t="s">
        <v>11</v>
      </c>
      <c r="B9" s="5" t="n">
        <v>0.432</v>
      </c>
      <c r="C9" s="4" t="s">
        <v>12</v>
      </c>
    </row>
    <row r="10" customFormat="false" ht="15" hidden="false" customHeight="false" outlineLevel="0" collapsed="false">
      <c r="A10" s="4" t="s">
        <v>13</v>
      </c>
      <c r="B10" s="4" t="n">
        <v>1.6</v>
      </c>
      <c r="C10" s="4" t="s">
        <v>14</v>
      </c>
    </row>
    <row r="11" customFormat="false" ht="26.85" hidden="false" customHeight="false" outlineLevel="0" collapsed="false">
      <c r="A11" s="4" t="s">
        <v>15</v>
      </c>
      <c r="B11" s="4" t="n">
        <v>3</v>
      </c>
      <c r="C11" s="4" t="s">
        <v>16</v>
      </c>
    </row>
    <row r="12" customFormat="false" ht="15" hidden="false" customHeight="false" outlineLevel="0" collapsed="false">
      <c r="A12" s="4" t="s">
        <v>17</v>
      </c>
      <c r="B12" s="4" t="n">
        <v>6</v>
      </c>
      <c r="C12" s="4" t="s">
        <v>18</v>
      </c>
    </row>
    <row r="13" customFormat="false" ht="15" hidden="false" customHeight="false" outlineLevel="0" collapsed="false">
      <c r="A13" s="4" t="s">
        <v>19</v>
      </c>
      <c r="B13" s="4" t="n">
        <v>27</v>
      </c>
      <c r="C13" s="4" t="s">
        <v>20</v>
      </c>
    </row>
    <row r="14" customFormat="false" ht="15" hidden="false" customHeight="false" outlineLevel="0" collapsed="false">
      <c r="A14" s="4" t="s">
        <v>21</v>
      </c>
      <c r="B14" s="4" t="n">
        <v>0</v>
      </c>
      <c r="C14" s="4" t="s">
        <v>22</v>
      </c>
    </row>
    <row r="15" customFormat="false" ht="15" hidden="false" customHeight="false" outlineLevel="0" collapsed="false">
      <c r="A15" s="4" t="s">
        <v>23</v>
      </c>
      <c r="B15" s="4" t="s">
        <v>24</v>
      </c>
      <c r="C15" s="4" t="s">
        <v>25</v>
      </c>
    </row>
    <row r="16" customFormat="false" ht="15" hidden="false" customHeight="false" outlineLevel="0" collapsed="false">
      <c r="A16" s="4" t="s">
        <v>26</v>
      </c>
      <c r="B16" s="4" t="s">
        <v>27</v>
      </c>
      <c r="C16" s="4" t="s">
        <v>28</v>
      </c>
    </row>
    <row r="17" customFormat="false" ht="15" hidden="false" customHeight="false" outlineLevel="0" collapsed="false">
      <c r="A17" s="4" t="s">
        <v>29</v>
      </c>
      <c r="B17" s="4" t="s">
        <v>30</v>
      </c>
      <c r="C17" s="4" t="s">
        <v>31</v>
      </c>
    </row>
    <row r="20" customFormat="false" ht="15" hidden="false" customHeight="false" outlineLevel="0" collapsed="false">
      <c r="A20" s="6" t="s">
        <v>32</v>
      </c>
    </row>
    <row r="21" customFormat="false" ht="49.5" hidden="false" customHeight="true" outlineLevel="0" collapsed="false">
      <c r="A21" s="7" t="s">
        <v>33</v>
      </c>
      <c r="B21" s="7"/>
      <c r="C21" s="7"/>
    </row>
    <row r="22" customFormat="false" ht="49.5" hidden="false" customHeight="true" outlineLevel="0" collapsed="false">
      <c r="A22" s="7" t="s">
        <v>34</v>
      </c>
      <c r="B22" s="7"/>
      <c r="C22" s="7"/>
    </row>
    <row r="23" customFormat="false" ht="49.5" hidden="false" customHeight="true" outlineLevel="0" collapsed="false">
      <c r="A23" s="7" t="s">
        <v>35</v>
      </c>
      <c r="B23" s="7"/>
      <c r="C23" s="7"/>
    </row>
  </sheetData>
  <mergeCells count="3">
    <mergeCell ref="A21:C21"/>
    <mergeCell ref="A22:C22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60"/>
  </cols>
  <sheetData>
    <row r="1" customFormat="false" ht="17.35" hidden="false" customHeight="false" outlineLevel="0" collapsed="false">
      <c r="A1" s="8" t="s">
        <v>36</v>
      </c>
    </row>
    <row r="3" customFormat="false" ht="15" hidden="false" customHeight="false" outlineLevel="0" collapsed="false">
      <c r="A3" s="9" t="s">
        <v>37</v>
      </c>
      <c r="B3" s="9" t="s">
        <v>38</v>
      </c>
      <c r="C3" s="9" t="s">
        <v>39</v>
      </c>
      <c r="D3" s="9" t="s">
        <v>40</v>
      </c>
      <c r="E3" s="9" t="s">
        <v>41</v>
      </c>
      <c r="F3" s="9" t="s">
        <v>42</v>
      </c>
      <c r="G3" s="9" t="s">
        <v>43</v>
      </c>
    </row>
    <row r="4" customFormat="false" ht="26.85" hidden="false" customHeight="false" outlineLevel="0" collapsed="false">
      <c r="A4" s="4" t="s">
        <v>44</v>
      </c>
      <c r="B4" s="4" t="n">
        <v>18</v>
      </c>
      <c r="C4" s="4" t="n">
        <v>30</v>
      </c>
      <c r="D4" s="5" t="n">
        <v>0.6</v>
      </c>
      <c r="E4" s="4" t="n">
        <v>1</v>
      </c>
      <c r="F4" s="4" t="s">
        <v>45</v>
      </c>
      <c r="G4" s="4" t="s">
        <v>46</v>
      </c>
    </row>
    <row r="5" customFormat="false" ht="26.85" hidden="false" customHeight="false" outlineLevel="0" collapsed="false">
      <c r="A5" s="4" t="s">
        <v>47</v>
      </c>
      <c r="B5" s="4" t="n">
        <v>45</v>
      </c>
      <c r="C5" s="4" t="n">
        <v>116</v>
      </c>
      <c r="D5" s="5"/>
      <c r="E5" s="4"/>
      <c r="F5" s="4" t="s">
        <v>48</v>
      </c>
      <c r="G5" s="4" t="s">
        <v>49</v>
      </c>
    </row>
    <row r="6" customFormat="false" ht="15" hidden="false" customHeight="false" outlineLevel="0" collapsed="false">
      <c r="A6" s="10" t="s">
        <v>50</v>
      </c>
      <c r="B6" s="10" t="n">
        <f aca="false">SUM(B4:B5)</f>
        <v>63</v>
      </c>
      <c r="C6" s="10" t="n">
        <f aca="false">SUM(C4:C5)</f>
        <v>146</v>
      </c>
      <c r="D6" s="11" t="n">
        <f aca="false">B6/C6</f>
        <v>0.431506849315069</v>
      </c>
      <c r="E6" s="10"/>
      <c r="F6" s="10"/>
      <c r="G6" s="10" t="s">
        <v>51</v>
      </c>
    </row>
    <row r="8" customFormat="false" ht="15" hidden="false" customHeight="false" outlineLevel="0" collapsed="false">
      <c r="A8" s="6" t="s">
        <v>52</v>
      </c>
    </row>
    <row r="9" customFormat="false" ht="26.85" hidden="false" customHeight="true" outlineLevel="0" collapsed="false">
      <c r="A9" s="7" t="s">
        <v>53</v>
      </c>
      <c r="B9" s="7"/>
      <c r="C9" s="7"/>
      <c r="D9" s="7"/>
      <c r="E9" s="7"/>
      <c r="F9" s="7"/>
      <c r="G9" s="7"/>
    </row>
  </sheetData>
  <mergeCells count="1">
    <mergeCell ref="A9:G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0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8" t="s">
        <v>54</v>
      </c>
    </row>
    <row r="3" customFormat="false" ht="26.85" hidden="false" customHeight="false" outlineLevel="0" collapsed="false">
      <c r="A3" s="9" t="s">
        <v>55</v>
      </c>
      <c r="B3" s="9" t="s">
        <v>56</v>
      </c>
      <c r="C3" s="9" t="s">
        <v>38</v>
      </c>
      <c r="D3" s="9" t="s">
        <v>39</v>
      </c>
      <c r="E3" s="9" t="s">
        <v>40</v>
      </c>
      <c r="F3" s="9" t="s">
        <v>41</v>
      </c>
      <c r="G3" s="9" t="s">
        <v>57</v>
      </c>
    </row>
    <row r="4" customFormat="false" ht="26.85" hidden="false" customHeight="false" outlineLevel="0" collapsed="false">
      <c r="A4" s="4" t="s">
        <v>58</v>
      </c>
      <c r="B4" s="4" t="s">
        <v>59</v>
      </c>
      <c r="C4" s="4" t="n">
        <v>60</v>
      </c>
      <c r="D4" s="4" t="n">
        <v>135</v>
      </c>
      <c r="E4" s="5" t="n">
        <v>0.444</v>
      </c>
      <c r="F4" s="4" t="n">
        <v>1.6</v>
      </c>
      <c r="G4" s="4" t="s">
        <v>60</v>
      </c>
    </row>
    <row r="5" customFormat="false" ht="39.55" hidden="false" customHeight="false" outlineLevel="0" collapsed="false">
      <c r="A5" s="4" t="s">
        <v>61</v>
      </c>
      <c r="B5" s="4" t="s">
        <v>59</v>
      </c>
      <c r="C5" s="4" t="n">
        <v>7</v>
      </c>
      <c r="D5" s="4" t="n">
        <v>42</v>
      </c>
      <c r="E5" s="5" t="n">
        <v>0.167</v>
      </c>
      <c r="F5" s="4" t="n">
        <v>2.7</v>
      </c>
      <c r="G5" s="4" t="s">
        <v>62</v>
      </c>
    </row>
    <row r="6" customFormat="false" ht="26.85" hidden="false" customHeight="false" outlineLevel="0" collapsed="false">
      <c r="A6" s="4" t="s">
        <v>63</v>
      </c>
      <c r="B6" s="4" t="s">
        <v>64</v>
      </c>
      <c r="C6" s="4" t="n">
        <v>0</v>
      </c>
      <c r="D6" s="4" t="n">
        <v>33</v>
      </c>
      <c r="E6" s="5" t="n">
        <v>0</v>
      </c>
      <c r="F6" s="4" t="n">
        <v>1</v>
      </c>
      <c r="G6" s="4" t="s">
        <v>65</v>
      </c>
    </row>
    <row r="7" customFormat="false" ht="26.85" hidden="false" customHeight="false" outlineLevel="0" collapsed="false">
      <c r="A7" s="4" t="s">
        <v>66</v>
      </c>
      <c r="B7" s="4" t="s">
        <v>64</v>
      </c>
      <c r="C7" s="4" t="n">
        <v>0</v>
      </c>
      <c r="D7" s="4" t="n">
        <v>33</v>
      </c>
      <c r="E7" s="5" t="n">
        <v>0</v>
      </c>
      <c r="F7" s="4" t="n">
        <v>1</v>
      </c>
      <c r="G7" s="4" t="s">
        <v>67</v>
      </c>
    </row>
    <row r="8" customFormat="false" ht="26.85" hidden="false" customHeight="false" outlineLevel="0" collapsed="false">
      <c r="A8" s="4" t="s">
        <v>68</v>
      </c>
      <c r="B8" s="4" t="s">
        <v>64</v>
      </c>
      <c r="C8" s="4" t="n">
        <v>0</v>
      </c>
      <c r="D8" s="4" t="n">
        <v>33</v>
      </c>
      <c r="E8" s="5" t="n">
        <v>0</v>
      </c>
      <c r="F8" s="4" t="n">
        <v>1</v>
      </c>
      <c r="G8" s="4" t="s">
        <v>69</v>
      </c>
    </row>
    <row r="9" customFormat="false" ht="26.85" hidden="false" customHeight="false" outlineLevel="0" collapsed="false">
      <c r="A9" s="4" t="s">
        <v>70</v>
      </c>
      <c r="B9" s="4" t="s">
        <v>64</v>
      </c>
      <c r="C9" s="4" t="n">
        <v>0</v>
      </c>
      <c r="D9" s="4" t="n">
        <v>33</v>
      </c>
      <c r="E9" s="5" t="n">
        <v>0</v>
      </c>
      <c r="F9" s="4" t="n">
        <v>1</v>
      </c>
      <c r="G9" s="4" t="s">
        <v>71</v>
      </c>
    </row>
    <row r="10" customFormat="false" ht="15" hidden="false" customHeight="false" outlineLevel="0" collapsed="false">
      <c r="A10" s="4" t="s">
        <v>72</v>
      </c>
      <c r="B10" s="4" t="s">
        <v>59</v>
      </c>
      <c r="C10" s="4" t="n">
        <v>0</v>
      </c>
      <c r="D10" s="4" t="n">
        <v>8</v>
      </c>
      <c r="E10" s="5" t="n">
        <v>0</v>
      </c>
      <c r="F10" s="4" t="n">
        <v>1.9</v>
      </c>
      <c r="G10" s="4" t="s">
        <v>73</v>
      </c>
    </row>
    <row r="11" customFormat="false" ht="15" hidden="false" customHeight="false" outlineLevel="0" collapsed="false">
      <c r="A11" s="4" t="s">
        <v>74</v>
      </c>
      <c r="B11" s="4" t="s">
        <v>64</v>
      </c>
      <c r="C11" s="4" t="n">
        <v>0</v>
      </c>
      <c r="D11" s="4" t="n">
        <v>1</v>
      </c>
      <c r="E11" s="5" t="n">
        <v>0</v>
      </c>
      <c r="F11" s="4" t="n">
        <v>1</v>
      </c>
      <c r="G11" s="4" t="s">
        <v>75</v>
      </c>
    </row>
    <row r="12" customFormat="false" ht="15" hidden="false" customHeight="false" outlineLevel="0" collapsed="false">
      <c r="A12" s="4" t="s">
        <v>76</v>
      </c>
      <c r="B12" s="4" t="s">
        <v>64</v>
      </c>
      <c r="C12" s="4" t="n">
        <v>0</v>
      </c>
      <c r="D12" s="4" t="n">
        <v>1</v>
      </c>
      <c r="E12" s="5" t="n">
        <v>0</v>
      </c>
      <c r="F12" s="4" t="n">
        <v>1</v>
      </c>
      <c r="G12" s="4" t="s">
        <v>77</v>
      </c>
    </row>
    <row r="13" customFormat="false" ht="15" hidden="false" customHeight="false" outlineLevel="0" collapsed="false">
      <c r="A13" s="12" t="s">
        <v>50</v>
      </c>
      <c r="B13" s="12"/>
      <c r="C13" s="12" t="n">
        <f aca="false">SUM(C4:C12)</f>
        <v>67</v>
      </c>
      <c r="D13" s="12" t="n">
        <f aca="false">SUM(D4:D12)</f>
        <v>319</v>
      </c>
      <c r="E13" s="13" t="n">
        <f aca="false">IFERROR(C13/D13,0)</f>
        <v>0.210031347962382</v>
      </c>
      <c r="F13" s="12"/>
      <c r="G13" s="12"/>
    </row>
    <row r="15" customFormat="false" ht="15" hidden="false" customHeight="false" outlineLevel="0" collapsed="false">
      <c r="A15" s="6" t="s">
        <v>78</v>
      </c>
    </row>
    <row r="16" customFormat="false" ht="15" hidden="false" customHeight="false" outlineLevel="0" collapsed="false">
      <c r="A16" s="6" t="s">
        <v>79</v>
      </c>
      <c r="B16" s="0" t="n">
        <f aca="false">SUMIF(B4:B12,"apex",C4:C12)</f>
        <v>67</v>
      </c>
    </row>
    <row r="17" customFormat="false" ht="15" hidden="false" customHeight="false" outlineLevel="0" collapsed="false">
      <c r="A17" s="6" t="s">
        <v>80</v>
      </c>
      <c r="B17" s="0" t="n">
        <f aca="false">SUMIF(B4:B12,"www",C4:C12)</f>
        <v>0</v>
      </c>
    </row>
    <row r="18" customFormat="false" ht="15" hidden="false" customHeight="false" outlineLevel="0" collapsed="false">
      <c r="A18" s="6" t="s">
        <v>81</v>
      </c>
      <c r="B18" s="0" t="n">
        <f aca="false">SUMIF(B4:B12,"apex",D4:D12)</f>
        <v>185</v>
      </c>
    </row>
    <row r="19" customFormat="false" ht="15" hidden="false" customHeight="false" outlineLevel="0" collapsed="false">
      <c r="A19" s="6" t="s">
        <v>82</v>
      </c>
      <c r="B19" s="0" t="n">
        <f aca="false">SUMIF(B4:B12,"www",D4:D12)</f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8"/>
    <col collapsed="false" customWidth="true" hidden="false" outlineLevel="0" max="4" min="4" style="0" width="60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8" t="s">
        <v>83</v>
      </c>
    </row>
    <row r="3" customFormat="false" ht="15" hidden="false" customHeight="false" outlineLevel="0" collapsed="false">
      <c r="A3" s="9" t="s">
        <v>84</v>
      </c>
      <c r="B3" s="9" t="s">
        <v>85</v>
      </c>
      <c r="C3" s="9" t="s">
        <v>86</v>
      </c>
      <c r="D3" s="9" t="s">
        <v>87</v>
      </c>
      <c r="E3" s="9" t="s">
        <v>88</v>
      </c>
    </row>
    <row r="4" customFormat="false" ht="15" hidden="false" customHeight="false" outlineLevel="0" collapsed="false">
      <c r="A4" s="4" t="s">
        <v>89</v>
      </c>
      <c r="B4" s="4" t="s">
        <v>90</v>
      </c>
      <c r="C4" s="4" t="n">
        <v>3</v>
      </c>
      <c r="D4" s="4" t="s">
        <v>91</v>
      </c>
      <c r="E4" s="4" t="s">
        <v>92</v>
      </c>
    </row>
    <row r="5" customFormat="false" ht="26.85" hidden="false" customHeight="false" outlineLevel="0" collapsed="false">
      <c r="A5" s="4" t="s">
        <v>93</v>
      </c>
      <c r="B5" s="4" t="s">
        <v>94</v>
      </c>
      <c r="C5" s="4" t="n">
        <v>2</v>
      </c>
      <c r="D5" s="4" t="s">
        <v>95</v>
      </c>
      <c r="E5" s="4" t="s">
        <v>96</v>
      </c>
    </row>
    <row r="6" customFormat="false" ht="15" hidden="false" customHeight="false" outlineLevel="0" collapsed="false">
      <c r="A6" s="4" t="s">
        <v>93</v>
      </c>
      <c r="B6" s="4" t="s">
        <v>97</v>
      </c>
      <c r="C6" s="4" t="n">
        <v>2</v>
      </c>
      <c r="D6" s="4" t="s">
        <v>98</v>
      </c>
      <c r="E6" s="4" t="s">
        <v>99</v>
      </c>
    </row>
    <row r="7" customFormat="false" ht="26.85" hidden="false" customHeight="false" outlineLevel="0" collapsed="false">
      <c r="A7" s="4" t="s">
        <v>93</v>
      </c>
      <c r="B7" s="4" t="s">
        <v>100</v>
      </c>
      <c r="C7" s="4" t="n">
        <v>1</v>
      </c>
      <c r="D7" s="4" t="s">
        <v>101</v>
      </c>
      <c r="E7" s="4" t="s">
        <v>102</v>
      </c>
    </row>
    <row r="8" customFormat="false" ht="26.85" hidden="false" customHeight="false" outlineLevel="0" collapsed="false">
      <c r="A8" s="4" t="s">
        <v>93</v>
      </c>
      <c r="B8" s="4" t="s">
        <v>103</v>
      </c>
      <c r="C8" s="4" t="n">
        <v>1</v>
      </c>
      <c r="D8" s="4" t="s">
        <v>61</v>
      </c>
      <c r="E8" s="4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0"/>
    <col collapsed="false" customWidth="true" hidden="false" outlineLevel="0" max="4" min="3" style="0" width="13"/>
    <col collapsed="false" customWidth="true" hidden="false" outlineLevel="0" max="5" min="5" style="0" width="3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8" t="s">
        <v>105</v>
      </c>
    </row>
    <row r="2" customFormat="false" ht="15" hidden="false" customHeight="false" outlineLevel="0" collapsed="false">
      <c r="A2" s="14" t="s">
        <v>106</v>
      </c>
    </row>
    <row r="4" customFormat="false" ht="15" hidden="false" customHeight="false" outlineLevel="0" collapsed="false">
      <c r="A4" s="9" t="s">
        <v>55</v>
      </c>
      <c r="B4" s="9" t="s">
        <v>107</v>
      </c>
      <c r="C4" s="9" t="s">
        <v>108</v>
      </c>
      <c r="D4" s="9" t="s">
        <v>109</v>
      </c>
      <c r="E4" s="9" t="s">
        <v>110</v>
      </c>
      <c r="F4" s="9" t="s">
        <v>111</v>
      </c>
    </row>
    <row r="5" customFormat="false" ht="15" hidden="false" customHeight="false" outlineLevel="0" collapsed="false">
      <c r="A5" s="4" t="s">
        <v>58</v>
      </c>
      <c r="B5" s="4" t="n">
        <v>1</v>
      </c>
      <c r="C5" s="4" t="s">
        <v>112</v>
      </c>
      <c r="D5" s="4" t="s">
        <v>113</v>
      </c>
      <c r="E5" s="4" t="s">
        <v>114</v>
      </c>
      <c r="F5" s="4" t="s">
        <v>115</v>
      </c>
    </row>
    <row r="6" customFormat="false" ht="15" hidden="false" customHeight="false" outlineLevel="0" collapsed="false">
      <c r="A6" s="4" t="s">
        <v>61</v>
      </c>
      <c r="B6" s="4" t="n">
        <v>0.8</v>
      </c>
      <c r="C6" s="4" t="s">
        <v>116</v>
      </c>
      <c r="D6" s="4" t="s">
        <v>113</v>
      </c>
      <c r="E6" s="4" t="s">
        <v>117</v>
      </c>
      <c r="F6" s="4" t="s">
        <v>118</v>
      </c>
    </row>
    <row r="7" customFormat="false" ht="26.85" hidden="false" customHeight="false" outlineLevel="0" collapsed="false">
      <c r="A7" s="4" t="s">
        <v>119</v>
      </c>
      <c r="B7" s="4" t="n">
        <v>0.95</v>
      </c>
      <c r="C7" s="4" t="s">
        <v>116</v>
      </c>
      <c r="D7" s="4" t="s">
        <v>113</v>
      </c>
      <c r="E7" s="4" t="s">
        <v>120</v>
      </c>
      <c r="F7" s="4" t="s">
        <v>118</v>
      </c>
    </row>
    <row r="8" customFormat="false" ht="26.85" hidden="false" customHeight="false" outlineLevel="0" collapsed="false">
      <c r="A8" s="4" t="s">
        <v>121</v>
      </c>
      <c r="B8" s="4" t="n">
        <v>0.72</v>
      </c>
      <c r="C8" s="4" t="s">
        <v>116</v>
      </c>
      <c r="D8" s="4" t="s">
        <v>113</v>
      </c>
      <c r="E8" s="4" t="s">
        <v>120</v>
      </c>
      <c r="F8" s="4" t="s">
        <v>118</v>
      </c>
    </row>
    <row r="9" customFormat="false" ht="15" hidden="false" customHeight="false" outlineLevel="0" collapsed="false">
      <c r="A9" s="4" t="s">
        <v>122</v>
      </c>
      <c r="B9" s="4" t="n">
        <v>0.84</v>
      </c>
      <c r="C9" s="4" t="s">
        <v>112</v>
      </c>
      <c r="D9" s="4" t="s">
        <v>123</v>
      </c>
      <c r="E9" s="4" t="s">
        <v>124</v>
      </c>
      <c r="F9" s="4" t="s">
        <v>125</v>
      </c>
    </row>
    <row r="10" customFormat="false" ht="15" hidden="false" customHeight="false" outlineLevel="0" collapsed="false">
      <c r="A10" s="4" t="s">
        <v>126</v>
      </c>
      <c r="B10" s="4" t="n">
        <v>0.72</v>
      </c>
      <c r="C10" s="4" t="s">
        <v>116</v>
      </c>
      <c r="D10" s="4" t="s">
        <v>127</v>
      </c>
      <c r="E10" s="4" t="s">
        <v>124</v>
      </c>
      <c r="F10" s="4" t="s">
        <v>128</v>
      </c>
    </row>
    <row r="11" customFormat="false" ht="15" hidden="false" customHeight="false" outlineLevel="0" collapsed="false">
      <c r="A11" s="4" t="s">
        <v>129</v>
      </c>
      <c r="B11" s="4" t="n">
        <v>0.72</v>
      </c>
      <c r="C11" s="4" t="s">
        <v>116</v>
      </c>
      <c r="D11" s="4" t="s">
        <v>130</v>
      </c>
      <c r="E11" s="4" t="s">
        <v>124</v>
      </c>
      <c r="F11" s="4" t="s">
        <v>131</v>
      </c>
    </row>
    <row r="12" customFormat="false" ht="26.85" hidden="false" customHeight="false" outlineLevel="0" collapsed="false">
      <c r="A12" s="4" t="s">
        <v>132</v>
      </c>
      <c r="B12" s="4" t="n">
        <v>0.92</v>
      </c>
      <c r="C12" s="4" t="s">
        <v>116</v>
      </c>
      <c r="D12" s="4" t="s">
        <v>113</v>
      </c>
      <c r="E12" s="4" t="s">
        <v>120</v>
      </c>
      <c r="F12" s="4" t="s">
        <v>133</v>
      </c>
    </row>
    <row r="13" customFormat="false" ht="15" hidden="false" customHeight="false" outlineLevel="0" collapsed="false">
      <c r="A13" s="4" t="s">
        <v>134</v>
      </c>
      <c r="B13" s="4" t="n">
        <v>0.72</v>
      </c>
      <c r="C13" s="4" t="s">
        <v>116</v>
      </c>
      <c r="D13" s="4" t="s">
        <v>113</v>
      </c>
      <c r="E13" s="4" t="s">
        <v>124</v>
      </c>
      <c r="F13" s="4" t="s">
        <v>135</v>
      </c>
    </row>
    <row r="14" customFormat="false" ht="26.85" hidden="false" customHeight="false" outlineLevel="0" collapsed="false">
      <c r="A14" s="4" t="s">
        <v>136</v>
      </c>
      <c r="B14" s="4" t="n">
        <v>0.72</v>
      </c>
      <c r="C14" s="4" t="s">
        <v>116</v>
      </c>
      <c r="D14" s="4" t="s">
        <v>137</v>
      </c>
      <c r="E14" s="4" t="s">
        <v>124</v>
      </c>
      <c r="F14" s="4" t="s">
        <v>138</v>
      </c>
    </row>
    <row r="15" customFormat="false" ht="15" hidden="false" customHeight="false" outlineLevel="0" collapsed="false">
      <c r="A15" s="4" t="s">
        <v>139</v>
      </c>
      <c r="B15" s="4" t="n">
        <v>0.72</v>
      </c>
      <c r="C15" s="4" t="s">
        <v>116</v>
      </c>
      <c r="D15" s="4" t="s">
        <v>113</v>
      </c>
      <c r="E15" s="4" t="s">
        <v>124</v>
      </c>
      <c r="F15" s="4" t="s">
        <v>135</v>
      </c>
    </row>
    <row r="16" customFormat="false" ht="15" hidden="false" customHeight="false" outlineLevel="0" collapsed="false">
      <c r="A16" s="4" t="s">
        <v>140</v>
      </c>
      <c r="B16" s="4" t="n">
        <v>0.88</v>
      </c>
      <c r="C16" s="4" t="s">
        <v>116</v>
      </c>
      <c r="D16" s="4" t="s">
        <v>137</v>
      </c>
      <c r="E16" s="4" t="s">
        <v>124</v>
      </c>
      <c r="F16" s="4" t="s">
        <v>141</v>
      </c>
    </row>
    <row r="17" customFormat="false" ht="15" hidden="false" customHeight="false" outlineLevel="0" collapsed="false">
      <c r="A17" s="4" t="s">
        <v>142</v>
      </c>
      <c r="B17" s="4" t="n">
        <v>0.9</v>
      </c>
      <c r="C17" s="4" t="s">
        <v>116</v>
      </c>
      <c r="D17" s="4" t="s">
        <v>130</v>
      </c>
      <c r="E17" s="4" t="s">
        <v>124</v>
      </c>
      <c r="F17" s="4" t="s">
        <v>143</v>
      </c>
    </row>
    <row r="18" customFormat="false" ht="15" hidden="false" customHeight="false" outlineLevel="0" collapsed="false">
      <c r="A18" s="4" t="s">
        <v>144</v>
      </c>
      <c r="B18" s="4" t="n">
        <v>0.9</v>
      </c>
      <c r="C18" s="4" t="s">
        <v>116</v>
      </c>
      <c r="D18" s="4" t="s">
        <v>130</v>
      </c>
      <c r="E18" s="4" t="s">
        <v>124</v>
      </c>
      <c r="F18" s="4" t="s">
        <v>143</v>
      </c>
    </row>
    <row r="19" customFormat="false" ht="15" hidden="false" customHeight="false" outlineLevel="0" collapsed="false">
      <c r="A19" s="4" t="s">
        <v>145</v>
      </c>
      <c r="B19" s="4" t="n">
        <v>0.85</v>
      </c>
      <c r="C19" s="4" t="s">
        <v>116</v>
      </c>
      <c r="D19" s="4" t="s">
        <v>137</v>
      </c>
      <c r="E19" s="4" t="s">
        <v>124</v>
      </c>
      <c r="F19" s="4" t="s">
        <v>146</v>
      </c>
    </row>
    <row r="20" customFormat="false" ht="15" hidden="false" customHeight="false" outlineLevel="0" collapsed="false">
      <c r="A20" s="4" t="s">
        <v>147</v>
      </c>
      <c r="B20" s="4" t="n">
        <v>0.72</v>
      </c>
      <c r="C20" s="4" t="s">
        <v>116</v>
      </c>
      <c r="D20" s="4" t="s">
        <v>137</v>
      </c>
      <c r="E20" s="4" t="s">
        <v>124</v>
      </c>
      <c r="F20" s="4" t="s">
        <v>148</v>
      </c>
    </row>
    <row r="21" customFormat="false" ht="15" hidden="false" customHeight="false" outlineLevel="0" collapsed="false">
      <c r="A21" s="4" t="s">
        <v>149</v>
      </c>
      <c r="B21" s="4" t="n">
        <v>0.72</v>
      </c>
      <c r="C21" s="4" t="s">
        <v>116</v>
      </c>
      <c r="D21" s="4" t="s">
        <v>137</v>
      </c>
      <c r="E21" s="4" t="s">
        <v>124</v>
      </c>
      <c r="F21" s="4" t="s">
        <v>148</v>
      </c>
    </row>
    <row r="22" customFormat="false" ht="15" hidden="false" customHeight="false" outlineLevel="0" collapsed="false">
      <c r="A22" s="4" t="s">
        <v>150</v>
      </c>
      <c r="B22" s="4" t="n">
        <v>0.72</v>
      </c>
      <c r="C22" s="4" t="s">
        <v>116</v>
      </c>
      <c r="D22" s="4" t="s">
        <v>137</v>
      </c>
      <c r="E22" s="4" t="s">
        <v>124</v>
      </c>
      <c r="F22" s="4" t="s">
        <v>148</v>
      </c>
    </row>
    <row r="23" customFormat="false" ht="15" hidden="false" customHeight="false" outlineLevel="0" collapsed="false">
      <c r="A23" s="4" t="s">
        <v>72</v>
      </c>
      <c r="B23" s="4" t="n">
        <v>0.8</v>
      </c>
      <c r="C23" s="4" t="s">
        <v>116</v>
      </c>
      <c r="D23" s="4" t="s">
        <v>137</v>
      </c>
      <c r="E23" s="4" t="s">
        <v>114</v>
      </c>
      <c r="F23" s="4" t="s">
        <v>151</v>
      </c>
    </row>
    <row r="24" customFormat="false" ht="15" hidden="false" customHeight="false" outlineLevel="0" collapsed="false">
      <c r="A24" s="4" t="s">
        <v>152</v>
      </c>
      <c r="B24" s="4" t="n">
        <v>0.88</v>
      </c>
      <c r="C24" s="4" t="s">
        <v>116</v>
      </c>
      <c r="D24" s="4" t="s">
        <v>137</v>
      </c>
      <c r="E24" s="4" t="s">
        <v>124</v>
      </c>
      <c r="F24" s="4" t="s">
        <v>153</v>
      </c>
    </row>
    <row r="25" customFormat="false" ht="15" hidden="false" customHeight="false" outlineLevel="0" collapsed="false">
      <c r="A25" s="4" t="s">
        <v>154</v>
      </c>
      <c r="B25" s="4" t="n">
        <v>0.78</v>
      </c>
      <c r="C25" s="4" t="s">
        <v>116</v>
      </c>
      <c r="D25" s="4" t="s">
        <v>130</v>
      </c>
      <c r="E25" s="4" t="s">
        <v>124</v>
      </c>
      <c r="F25" s="4" t="s">
        <v>155</v>
      </c>
    </row>
    <row r="26" customFormat="false" ht="15" hidden="false" customHeight="false" outlineLevel="0" collapsed="false">
      <c r="A26" s="4" t="s">
        <v>156</v>
      </c>
      <c r="B26" s="4" t="n">
        <v>0.84</v>
      </c>
      <c r="C26" s="4" t="s">
        <v>116</v>
      </c>
      <c r="D26" s="4" t="s">
        <v>137</v>
      </c>
      <c r="E26" s="4" t="s">
        <v>124</v>
      </c>
      <c r="F26" s="4" t="s">
        <v>157</v>
      </c>
    </row>
    <row r="27" customFormat="false" ht="15" hidden="false" customHeight="false" outlineLevel="0" collapsed="false">
      <c r="A27" s="4" t="s">
        <v>158</v>
      </c>
      <c r="B27" s="4" t="n">
        <v>0.76</v>
      </c>
      <c r="C27" s="4" t="s">
        <v>112</v>
      </c>
      <c r="D27" s="4" t="s">
        <v>159</v>
      </c>
      <c r="E27" s="4" t="s">
        <v>124</v>
      </c>
      <c r="F27" s="4" t="s">
        <v>160</v>
      </c>
    </row>
    <row r="28" customFormat="false" ht="15" hidden="false" customHeight="false" outlineLevel="0" collapsed="false">
      <c r="A28" s="4" t="s">
        <v>161</v>
      </c>
      <c r="B28" s="4" t="n">
        <v>0.76</v>
      </c>
      <c r="C28" s="4" t="s">
        <v>112</v>
      </c>
      <c r="D28" s="4" t="s">
        <v>123</v>
      </c>
      <c r="E28" s="4" t="s">
        <v>124</v>
      </c>
      <c r="F28" s="4" t="s">
        <v>160</v>
      </c>
    </row>
    <row r="29" customFormat="false" ht="26.85" hidden="false" customHeight="false" outlineLevel="0" collapsed="false">
      <c r="A29" s="4" t="s">
        <v>162</v>
      </c>
      <c r="B29" s="4" t="n">
        <v>0.76</v>
      </c>
      <c r="C29" s="4" t="s">
        <v>112</v>
      </c>
      <c r="D29" s="4" t="s">
        <v>123</v>
      </c>
      <c r="E29" s="4" t="s">
        <v>124</v>
      </c>
      <c r="F29" s="4" t="s">
        <v>160</v>
      </c>
    </row>
    <row r="30" customFormat="false" ht="26.85" hidden="false" customHeight="false" outlineLevel="0" collapsed="false">
      <c r="A30" s="4" t="s">
        <v>163</v>
      </c>
      <c r="B30" s="4" t="n">
        <v>0.76</v>
      </c>
      <c r="C30" s="4" t="s">
        <v>112</v>
      </c>
      <c r="D30" s="4" t="s">
        <v>123</v>
      </c>
      <c r="E30" s="4" t="s">
        <v>124</v>
      </c>
      <c r="F30" s="4" t="s">
        <v>164</v>
      </c>
    </row>
    <row r="31" customFormat="false" ht="26.85" hidden="false" customHeight="false" outlineLevel="0" collapsed="false">
      <c r="A31" s="4" t="s">
        <v>165</v>
      </c>
      <c r="B31" s="4" t="n">
        <v>0.76</v>
      </c>
      <c r="C31" s="4" t="s">
        <v>112</v>
      </c>
      <c r="D31" s="4" t="s">
        <v>123</v>
      </c>
      <c r="E31" s="4" t="s">
        <v>124</v>
      </c>
      <c r="F31" s="4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50"/>
    <col collapsed="false" customWidth="true" hidden="false" outlineLevel="0" max="4" min="4" style="0" width="48"/>
  </cols>
  <sheetData>
    <row r="1" customFormat="false" ht="17.35" hidden="false" customHeight="false" outlineLevel="0" collapsed="false">
      <c r="A1" s="8" t="s">
        <v>166</v>
      </c>
    </row>
    <row r="2" customFormat="false" ht="15" hidden="false" customHeight="false" outlineLevel="0" collapsed="false">
      <c r="A2" s="14" t="s">
        <v>167</v>
      </c>
    </row>
    <row r="4" customFormat="false" ht="15" hidden="false" customHeight="false" outlineLevel="0" collapsed="false">
      <c r="A4" s="9" t="s">
        <v>168</v>
      </c>
      <c r="B4" s="9" t="s">
        <v>169</v>
      </c>
      <c r="C4" s="9" t="s">
        <v>170</v>
      </c>
      <c r="D4" s="9" t="s">
        <v>57</v>
      </c>
    </row>
    <row r="5" customFormat="false" ht="15" hidden="false" customHeight="false" outlineLevel="0" collapsed="false">
      <c r="A5" s="4" t="s">
        <v>171</v>
      </c>
      <c r="B5" s="4" t="s">
        <v>58</v>
      </c>
      <c r="C5" s="4" t="s">
        <v>61</v>
      </c>
      <c r="D5" s="4" t="s">
        <v>172</v>
      </c>
    </row>
    <row r="6" customFormat="false" ht="15" hidden="false" customHeight="false" outlineLevel="0" collapsed="false">
      <c r="A6" s="4" t="s">
        <v>173</v>
      </c>
      <c r="B6" s="4" t="s">
        <v>74</v>
      </c>
      <c r="C6" s="4" t="s">
        <v>63</v>
      </c>
      <c r="D6" s="4" t="s">
        <v>174</v>
      </c>
    </row>
    <row r="7" customFormat="false" ht="26.85" hidden="false" customHeight="false" outlineLevel="0" collapsed="false">
      <c r="A7" s="4" t="s">
        <v>175</v>
      </c>
      <c r="B7" s="4" t="s">
        <v>176</v>
      </c>
      <c r="C7" s="4" t="s">
        <v>177</v>
      </c>
      <c r="D7" s="4" t="s">
        <v>178</v>
      </c>
    </row>
    <row r="8" customFormat="false" ht="15" hidden="false" customHeight="false" outlineLevel="0" collapsed="false">
      <c r="A8" s="4" t="s">
        <v>179</v>
      </c>
      <c r="B8" s="15" t="n">
        <f aca="false">LEN(B7)</f>
        <v>70</v>
      </c>
      <c r="C8" s="15" t="n">
        <f aca="false">LEN(C7)</f>
        <v>75</v>
      </c>
      <c r="D8" s="4" t="s">
        <v>180</v>
      </c>
    </row>
    <row r="9" customFormat="false" ht="52.2" hidden="false" customHeight="false" outlineLevel="0" collapsed="false">
      <c r="A9" s="4" t="s">
        <v>181</v>
      </c>
      <c r="B9" s="4" t="s">
        <v>182</v>
      </c>
      <c r="C9" s="4" t="s">
        <v>183</v>
      </c>
      <c r="D9" s="4" t="s">
        <v>184</v>
      </c>
    </row>
    <row r="10" customFormat="false" ht="15" hidden="false" customHeight="false" outlineLevel="0" collapsed="false">
      <c r="A10" s="4" t="s">
        <v>185</v>
      </c>
      <c r="B10" s="15" t="n">
        <f aca="false">LEN(B9)</f>
        <v>185</v>
      </c>
      <c r="C10" s="15" t="n">
        <f aca="false">LEN(C9)</f>
        <v>152</v>
      </c>
      <c r="D10" s="4" t="s">
        <v>186</v>
      </c>
    </row>
    <row r="11" customFormat="false" ht="26.85" hidden="false" customHeight="false" outlineLevel="0" collapsed="false">
      <c r="A11" s="4" t="s">
        <v>187</v>
      </c>
      <c r="B11" s="4" t="s">
        <v>58</v>
      </c>
      <c r="C11" s="4" t="s">
        <v>61</v>
      </c>
      <c r="D11" s="4" t="s">
        <v>188</v>
      </c>
    </row>
    <row r="12" customFormat="false" ht="39.55" hidden="false" customHeight="false" outlineLevel="0" collapsed="false">
      <c r="A12" s="4" t="s">
        <v>189</v>
      </c>
      <c r="B12" s="4" t="s">
        <v>190</v>
      </c>
      <c r="C12" s="4" t="s">
        <v>191</v>
      </c>
      <c r="D12" s="4" t="s">
        <v>192</v>
      </c>
    </row>
    <row r="13" customFormat="false" ht="15" hidden="false" customHeight="false" outlineLevel="0" collapsed="false">
      <c r="A13" s="4" t="s">
        <v>193</v>
      </c>
      <c r="B13" s="4" t="n">
        <v>1</v>
      </c>
      <c r="C13" s="4" t="n">
        <v>1</v>
      </c>
      <c r="D13" s="4" t="s">
        <v>194</v>
      </c>
    </row>
    <row r="14" customFormat="false" ht="15" hidden="false" customHeight="false" outlineLevel="0" collapsed="false">
      <c r="A14" s="4" t="s">
        <v>195</v>
      </c>
      <c r="B14" s="4" t="n">
        <v>12</v>
      </c>
      <c r="C14" s="4" t="n">
        <v>7</v>
      </c>
      <c r="D14" s="4" t="s">
        <v>196</v>
      </c>
    </row>
    <row r="15" customFormat="false" ht="26.85" hidden="false" customHeight="false" outlineLevel="0" collapsed="false">
      <c r="A15" s="4" t="s">
        <v>197</v>
      </c>
      <c r="B15" s="4" t="n">
        <v>1403</v>
      </c>
      <c r="C15" s="4" t="n">
        <v>510</v>
      </c>
      <c r="D15" s="4" t="s">
        <v>198</v>
      </c>
    </row>
    <row r="16" customFormat="false" ht="15" hidden="false" customHeight="false" outlineLevel="0" collapsed="false">
      <c r="A16" s="4" t="s">
        <v>199</v>
      </c>
      <c r="B16" s="4" t="n">
        <v>34</v>
      </c>
      <c r="C16" s="4" t="n">
        <v>28</v>
      </c>
      <c r="D16" s="4" t="s">
        <v>200</v>
      </c>
    </row>
    <row r="17" customFormat="false" ht="15" hidden="false" customHeight="false" outlineLevel="0" collapsed="false">
      <c r="A17" s="4" t="s">
        <v>201</v>
      </c>
      <c r="B17" s="4" t="s">
        <v>202</v>
      </c>
      <c r="C17" s="4" t="s">
        <v>202</v>
      </c>
      <c r="D17" s="4" t="s">
        <v>203</v>
      </c>
    </row>
    <row r="18" customFormat="false" ht="15" hidden="false" customHeight="false" outlineLevel="0" collapsed="false">
      <c r="A18" s="4" t="s">
        <v>204</v>
      </c>
      <c r="B18" s="4" t="s">
        <v>205</v>
      </c>
      <c r="C18" s="4" t="s">
        <v>206</v>
      </c>
      <c r="D18" s="4" t="s">
        <v>207</v>
      </c>
    </row>
    <row r="19" customFormat="false" ht="26.85" hidden="false" customHeight="false" outlineLevel="0" collapsed="false">
      <c r="A19" s="4" t="s">
        <v>208</v>
      </c>
      <c r="B19" s="4" t="s">
        <v>209</v>
      </c>
      <c r="C19" s="4" t="s">
        <v>210</v>
      </c>
      <c r="D19" s="4" t="s">
        <v>211</v>
      </c>
    </row>
    <row r="20" customFormat="false" ht="26.85" hidden="false" customHeight="false" outlineLevel="0" collapsed="false">
      <c r="A20" s="4" t="s">
        <v>212</v>
      </c>
      <c r="B20" s="4" t="s">
        <v>213</v>
      </c>
      <c r="C20" s="4" t="s">
        <v>213</v>
      </c>
      <c r="D20" s="4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  <col collapsed="false" customWidth="true" hidden="false" outlineLevel="0" max="4" min="3" style="0" width="10"/>
    <col collapsed="false" customWidth="true" hidden="false" outlineLevel="0" max="6" min="5" style="0" width="22"/>
  </cols>
  <sheetData>
    <row r="1" customFormat="false" ht="17.35" hidden="false" customHeight="false" outlineLevel="0" collapsed="false">
      <c r="A1" s="8" t="s">
        <v>215</v>
      </c>
    </row>
    <row r="3" customFormat="false" ht="15" hidden="false" customHeight="false" outlineLevel="0" collapsed="false">
      <c r="A3" s="9" t="s">
        <v>216</v>
      </c>
      <c r="B3" s="9" t="s">
        <v>88</v>
      </c>
      <c r="C3" s="9" t="s">
        <v>217</v>
      </c>
      <c r="D3" s="9" t="s">
        <v>218</v>
      </c>
      <c r="E3" s="9" t="s">
        <v>219</v>
      </c>
      <c r="F3" s="9" t="s">
        <v>111</v>
      </c>
    </row>
    <row r="4" customFormat="false" ht="52.2" hidden="false" customHeight="false" outlineLevel="0" collapsed="false">
      <c r="A4" s="4" t="n">
        <v>1</v>
      </c>
      <c r="B4" s="4" t="s">
        <v>220</v>
      </c>
      <c r="C4" s="16" t="s">
        <v>221</v>
      </c>
      <c r="D4" s="4" t="s">
        <v>222</v>
      </c>
      <c r="E4" s="4" t="s">
        <v>223</v>
      </c>
      <c r="F4" s="4" t="s">
        <v>224</v>
      </c>
    </row>
    <row r="5" customFormat="false" ht="26.85" hidden="false" customHeight="false" outlineLevel="0" collapsed="false">
      <c r="A5" s="4" t="n">
        <v>2</v>
      </c>
      <c r="B5" s="4" t="s">
        <v>225</v>
      </c>
      <c r="C5" s="16" t="s">
        <v>221</v>
      </c>
      <c r="D5" s="4" t="s">
        <v>226</v>
      </c>
      <c r="E5" s="4" t="s">
        <v>227</v>
      </c>
      <c r="F5" s="4" t="s">
        <v>224</v>
      </c>
    </row>
    <row r="6" customFormat="false" ht="26.85" hidden="false" customHeight="false" outlineLevel="0" collapsed="false">
      <c r="A6" s="4" t="n">
        <v>3</v>
      </c>
      <c r="B6" s="4" t="s">
        <v>228</v>
      </c>
      <c r="C6" s="17" t="s">
        <v>229</v>
      </c>
      <c r="D6" s="4" t="s">
        <v>226</v>
      </c>
      <c r="E6" s="4" t="s">
        <v>230</v>
      </c>
      <c r="F6" s="4" t="s">
        <v>231</v>
      </c>
    </row>
    <row r="7" customFormat="false" ht="39.55" hidden="false" customHeight="false" outlineLevel="0" collapsed="false">
      <c r="A7" s="4" t="n">
        <v>4</v>
      </c>
      <c r="B7" s="4" t="s">
        <v>232</v>
      </c>
      <c r="C7" s="16" t="s">
        <v>221</v>
      </c>
      <c r="D7" s="4" t="s">
        <v>229</v>
      </c>
      <c r="E7" s="4" t="s">
        <v>233</v>
      </c>
      <c r="F7" s="4" t="s">
        <v>234</v>
      </c>
    </row>
    <row r="8" customFormat="false" ht="26.85" hidden="false" customHeight="false" outlineLevel="0" collapsed="false">
      <c r="A8" s="4" t="n">
        <v>5</v>
      </c>
      <c r="B8" s="4" t="s">
        <v>235</v>
      </c>
      <c r="C8" s="16" t="s">
        <v>221</v>
      </c>
      <c r="D8" s="4" t="s">
        <v>229</v>
      </c>
      <c r="E8" s="4" t="s">
        <v>236</v>
      </c>
      <c r="F8" s="4" t="s">
        <v>234</v>
      </c>
    </row>
    <row r="9" customFormat="false" ht="26.85" hidden="false" customHeight="false" outlineLevel="0" collapsed="false">
      <c r="A9" s="4" t="n">
        <v>6</v>
      </c>
      <c r="B9" s="4" t="s">
        <v>237</v>
      </c>
      <c r="C9" s="18" t="s">
        <v>222</v>
      </c>
      <c r="D9" s="4" t="s">
        <v>222</v>
      </c>
      <c r="E9" s="4" t="s">
        <v>238</v>
      </c>
      <c r="F9" s="4" t="s">
        <v>239</v>
      </c>
    </row>
    <row r="10" customFormat="false" ht="26.85" hidden="false" customHeight="false" outlineLevel="0" collapsed="false">
      <c r="A10" s="4" t="n">
        <v>7</v>
      </c>
      <c r="B10" s="4" t="s">
        <v>240</v>
      </c>
      <c r="C10" s="18" t="s">
        <v>222</v>
      </c>
      <c r="D10" s="4" t="s">
        <v>222</v>
      </c>
      <c r="E10" s="4" t="s">
        <v>241</v>
      </c>
      <c r="F10" s="4" t="s">
        <v>224</v>
      </c>
    </row>
    <row r="11" customFormat="false" ht="39.55" hidden="false" customHeight="false" outlineLevel="0" collapsed="false">
      <c r="A11" s="4" t="n">
        <v>8</v>
      </c>
      <c r="B11" s="4" t="s">
        <v>242</v>
      </c>
      <c r="C11" s="18" t="s">
        <v>222</v>
      </c>
      <c r="D11" s="4" t="s">
        <v>229</v>
      </c>
      <c r="E11" s="4" t="s">
        <v>243</v>
      </c>
      <c r="F11" s="4" t="s">
        <v>234</v>
      </c>
    </row>
    <row r="12" customFormat="false" ht="39.55" hidden="false" customHeight="false" outlineLevel="0" collapsed="false">
      <c r="A12" s="4" t="n">
        <v>9</v>
      </c>
      <c r="B12" s="4" t="s">
        <v>244</v>
      </c>
      <c r="C12" s="17" t="s">
        <v>229</v>
      </c>
      <c r="D12" s="4" t="s">
        <v>229</v>
      </c>
      <c r="E12" s="4" t="s">
        <v>245</v>
      </c>
      <c r="F12" s="4" t="s">
        <v>246</v>
      </c>
    </row>
    <row r="13" customFormat="false" ht="15" hidden="false" customHeight="false" outlineLevel="0" collapsed="false">
      <c r="A13" s="4" t="n">
        <v>10</v>
      </c>
      <c r="B13" s="4" t="s">
        <v>247</v>
      </c>
      <c r="C13" s="17" t="s">
        <v>229</v>
      </c>
      <c r="D13" s="4" t="s">
        <v>248</v>
      </c>
      <c r="E13" s="4" t="s">
        <v>249</v>
      </c>
      <c r="F13" s="4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2026-04-24T17:53:05Z</dcterms:created>
  <dc:creator>openpyxl</dc:creator>
  <dc:description/>
  <dc:language>en-US</dc:language>
  <cp:lastModifiedBy/>
  <dcterms:modified xsi:type="dcterms:W3CDTF">2026-04-24T17:53:05Z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